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8_{2B1A0847-3B42-4922-99AD-9C5456DBB3F1}" xr6:coauthVersionLast="47" xr6:coauthVersionMax="47" xr10:uidLastSave="{00000000-0000-0000-0000-000000000000}"/>
  <bookViews>
    <workbookView xWindow="47910" yWindow="-2350" windowWidth="19380" windowHeight="20970" xr2:uid="{00000000-000D-0000-FFFF-FFFF00000000}"/>
  </bookViews>
  <sheets>
    <sheet name="Itemized expenses" sheetId="2" r:id="rId1"/>
    <sheet name="ChartData" sheetId="3" state="hidden" r:id="rId2"/>
  </sheets>
  <definedNames>
    <definedName name="AllottedFunds">#REF!</definedName>
    <definedName name="ColumnTitle2">Data[[#Headers],[Item]]</definedName>
    <definedName name="ColumnTitleRegion1..D4.2">'Itemized expenses'!$B$3</definedName>
    <definedName name="FundsRemaining">INDEX(#REF!,ROWS(#REF!),1)</definedName>
    <definedName name="FundsRemainingLabel">#REF!</definedName>
    <definedName name="FundsUsed">#REF!</definedName>
    <definedName name="FundsUsedLabel">#REF!</definedName>
    <definedName name="_xlnm.Print_Titles" localSheetId="0">'Itemized expenses'!$5:$5</definedName>
    <definedName name="RowTitleRegion1..C11">#REF!</definedName>
    <definedName name="Slicer_Category">#N/A</definedName>
    <definedName name="Title1">#REF!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D4" i="2" s="1"/>
  <c r="B4" i="2"/>
  <c r="E15" i="2"/>
  <c r="A4" i="3" l="1"/>
  <c r="A3" i="3" l="1"/>
</calcChain>
</file>

<file path=xl/sharedStrings.xml><?xml version="1.0" encoding="utf-8"?>
<sst xmlns="http://schemas.openxmlformats.org/spreadsheetml/2006/main" count="41" uniqueCount="31">
  <si>
    <t>Item</t>
  </si>
  <si>
    <t>Category</t>
  </si>
  <si>
    <t>Amount</t>
  </si>
  <si>
    <t>Total</t>
  </si>
  <si>
    <t>PROJECT FUNDS ALLOTTED</t>
  </si>
  <si>
    <t>FUNDS USED TO DATE</t>
  </si>
  <si>
    <t>FUNDS REMAINING</t>
  </si>
  <si>
    <t>This sheet should remain hidden.</t>
  </si>
  <si>
    <t>Chart Labels</t>
  </si>
  <si>
    <t>Budget Summary</t>
  </si>
  <si>
    <t>Initial cost</t>
  </si>
  <si>
    <t>Link to Product</t>
  </si>
  <si>
    <t>Arduino Uno</t>
  </si>
  <si>
    <t>Already own</t>
  </si>
  <si>
    <t>L298N Motor Controller</t>
  </si>
  <si>
    <t>Battery Pack</t>
  </si>
  <si>
    <t>DC Motor</t>
  </si>
  <si>
    <t>Fly Wheel</t>
  </si>
  <si>
    <t>Acrylic Sheets</t>
  </si>
  <si>
    <t>https://www.mcmaster.com/products/acrylic-sheets/plastic-1~/easy-to-form-pvc-acrylic/</t>
  </si>
  <si>
    <t>https://www.amazon.com/Hosyond-Motors-Digital-Helicopter-Control/dp/B0CNVV92ZF?crid=2JF5OSOA5VKKA&amp;dib=eyJ2IjoiMSJ9.gV85mNh-3CJRRYB5uBXzsS8IFq-9Cx2ytROQYHa2otpLQAq5pyM-5U1HznXp2qPMomiOFkGrfma4hBCGlBjL4E28loZxagYuFrv4UfPXzClIxKSSMAQne8gGs6hemrkweshztKMmnWlUXwhbb7GqWbfvUautkgh9nCJ1gifgFuvLYn0xro6nrDwFf6PKuoo-UIGdrzugL6I38KtaTRShZH_B9OK9GTulNzu_b1_qnCkIBKzWIfKX1WrAWvtsQ4N_Bv_3BzlmEExZY24DK-zX_OMNoVEMXIMh-9gX9bg730s.6RHPn0oYOqTV2AcBJS5Hb8S-uFv-zK84izBDuT3gTsM&amp;dib_tag=se&amp;keywords=servo+motors&amp;qid=1744688618&amp;sprefix=servo+motors,aps,128&amp;sr=8-15-spons&amp;sp_csd=d2lkZ2V0TmFtZT1zcF9tdGY&amp;psc=1&amp;linkCode=sl1&amp;tag=dronebotwor0d-20&amp;linkId=8d4794ee6e805288788d9fce2876f1d9&amp;language=en_US</t>
  </si>
  <si>
    <t>MG995 Servo Motors</t>
  </si>
  <si>
    <t>120pcs Dupont Wire 40pin M/F</t>
  </si>
  <si>
    <t>https://www.amazon.com/California-JOS-Breadboard-Optional-Multicolored/dp/B0BRTJXND9?dib=eyJ2IjoiMSJ9.qJE7UjNibAzbwpMmx2tJ0xEjvYMaEgz3Vn2NInhtP87ssEotzrQ6IoJnQCIUn_3hD-N3eYY2oRRCoqd6_nKapzV0E7VSdFSl69G2nyk5SS9-mn9PYBRdLjhpPDk6eQsYFJ8cA4ZWQR4GGIuIl7oNtDFKkOSiVFmfkQ1Xvl5GiOeqtdKqhpWrQczq11OtQynhqhN2ZxgMgnaikFhqli2vPAF5SBO0a9ZFhrrj9d5s3791rvxkhkPCOBTF3xPqx0BSnhrTfUKFwCnV8FCi3YcTA_Mkvqc159d9aA4PpfATYyU.N0e4Y3mva2kWP6zCJl1HiomhSHGlMS1tSQbroxpHOgI&amp;dib_tag=se&amp;keywords=arduino%2Bwire&amp;qid=1762211666&amp;sr=8-6&amp;th=1</t>
  </si>
  <si>
    <t>2nd Purchase Round</t>
  </si>
  <si>
    <t>Bill</t>
  </si>
  <si>
    <t>Of 
Materials</t>
  </si>
  <si>
    <t>Team 4: Young DOF</t>
  </si>
  <si>
    <t>Order Placed:</t>
  </si>
  <si>
    <t>10pcs PCB Perf Board</t>
  </si>
  <si>
    <t>https://www.amazon.com/Ferwooh-Protoboard-Breadboards-Breadboard-Electronic/dp/B0CZ6W18F6?dib=eyJ2IjoiMSJ9.hZ7yUlqIa0lR5GczvXnkXXRkct3_5aQwM13_NnqxYdWNbnpS2dY9WPIgSeb6-rpPEJcG9WB-KjlE51xRiUVdTZLSnqCPGqGrLIuTBPsUXruDgx5sbPV5fl6Bfclzp53MPIWCZtQ2KUbuzj-DyeXDRlsgvUU42EsXcL0h90DZIPnXiZTmJsZEROvv70xDJaRbHvpyaJkhLfH8KOCTQ20UPjC2mkwTb6tuwN4uNDaFS_E.UwTda-DkAShUyBvcAmocGrK2EzXhMQmItb_AAQ2dud4&amp;dib_tag=se&amp;keywords=perfboard&amp;qid=1762212236&amp;sr=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</si>
</sst>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0_);[Red]\(&quot;$&quot;#,##0\)"/>
    <numFmt numFmtId="8" formatCode="&quot;$&quot;#,##0.00_);[Red]\(&quot;$&quot;#,##0.00\)"/>
    <numFmt numFmtId="164" formatCode="&quot;$&quot;#,##0.00"/>
    <numFmt numFmtId="165" formatCode="[&lt;=9999999]###\-####;###\-###\-####"/>
    <numFmt numFmtId="166" formatCode=";;;"/>
  </numFmts>
  <fonts count="12" x14ac:knownFonts="1">
    <font>
      <sz val="12"/>
      <color theme="4" tint="-0.499984740745262"/>
      <name val="Times New Roman"/>
      <family val="2"/>
      <scheme val="minor"/>
    </font>
    <font>
      <sz val="48"/>
      <color theme="2"/>
      <name val="Arial Black"/>
      <family val="2"/>
      <scheme val="major"/>
    </font>
    <font>
      <sz val="14"/>
      <color theme="2"/>
      <name val="Arial Black"/>
      <family val="2"/>
      <scheme val="major"/>
    </font>
    <font>
      <sz val="12"/>
      <color theme="4"/>
      <name val="Times New Roman"/>
      <family val="2"/>
      <scheme val="minor"/>
    </font>
    <font>
      <sz val="12"/>
      <color theme="4" tint="-0.499984740745262"/>
      <name val="Times New Roman"/>
      <family val="2"/>
      <scheme val="minor"/>
    </font>
    <font>
      <sz val="12"/>
      <color theme="5" tint="-0.24994659260841701"/>
      <name val="Arial Black"/>
      <family val="2"/>
      <scheme val="major"/>
    </font>
    <font>
      <sz val="11"/>
      <color theme="5" tint="-0.24994659260841701"/>
      <name val="Arial Black"/>
      <family val="2"/>
      <scheme val="major"/>
    </font>
    <font>
      <b/>
      <sz val="12"/>
      <color theme="4" tint="-0.499984740745262"/>
      <name val="Times New Roman"/>
      <family val="2"/>
      <scheme val="minor"/>
    </font>
    <font>
      <sz val="12"/>
      <color theme="0"/>
      <name val="Times New Roman"/>
      <family val="2"/>
      <scheme val="minor"/>
    </font>
    <font>
      <sz val="12"/>
      <color theme="4"/>
      <name val="Times New Roman"/>
      <family val="1"/>
      <scheme val="minor"/>
    </font>
    <font>
      <sz val="12"/>
      <color theme="1"/>
      <name val="Times New Roman"/>
      <family val="2"/>
      <scheme val="minor"/>
    </font>
    <font>
      <b/>
      <sz val="12"/>
      <color theme="4" tint="-0.499984740745262"/>
      <name val="Times New Roman"/>
      <family val="1"/>
      <scheme val="minor"/>
    </font>
  </fonts>
  <fills count="7">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theme="0" tint="-4.9989318521683403E-2"/>
        <bgColor indexed="64"/>
      </patternFill>
    </fill>
  </fills>
  <borders count="3">
    <border>
      <left/>
      <right/>
      <top/>
      <bottom/>
      <diagonal/>
    </border>
    <border>
      <left/>
      <right/>
      <top/>
      <bottom style="thick">
        <color theme="4"/>
      </bottom>
      <diagonal/>
    </border>
    <border>
      <left/>
      <right/>
      <top/>
      <bottom style="thin">
        <color theme="4"/>
      </bottom>
      <diagonal/>
    </border>
  </borders>
  <cellStyleXfs count="15">
    <xf numFmtId="0" fontId="0" fillId="0" borderId="0">
      <alignment horizontal="left" vertical="center" wrapText="1"/>
    </xf>
    <xf numFmtId="0" fontId="2" fillId="2" borderId="0" applyNumberFormat="0" applyProtection="0">
      <alignment vertical="center" wrapText="1"/>
    </xf>
    <xf numFmtId="0" fontId="5" fillId="0" borderId="1" applyNumberFormat="0" applyFill="0" applyProtection="0"/>
    <xf numFmtId="0" fontId="3" fillId="0" borderId="2" applyNumberFormat="0" applyFont="0" applyFill="0" applyAlignment="0" applyProtection="0"/>
    <xf numFmtId="0" fontId="9" fillId="0" borderId="2" applyNumberFormat="0" applyFill="0" applyAlignment="0" applyProtection="0">
      <alignment vertical="center"/>
    </xf>
    <xf numFmtId="0" fontId="6" fillId="5" borderId="0" applyNumberFormat="0" applyFill="0" applyBorder="0" applyProtection="0"/>
    <xf numFmtId="164" fontId="4" fillId="0" borderId="0" applyFill="0" applyBorder="0" applyProtection="0">
      <alignment horizontal="right" vertical="center"/>
    </xf>
    <xf numFmtId="6" fontId="4" fillId="0" borderId="0" applyFill="0" applyBorder="0" applyAlignment="0" applyProtection="0"/>
    <xf numFmtId="0" fontId="1" fillId="2" borderId="0" applyNumberFormat="0" applyBorder="0" applyProtection="0">
      <alignment vertical="center"/>
    </xf>
    <xf numFmtId="8" fontId="7" fillId="4" borderId="0" applyFill="0" applyBorder="0" applyProtection="0">
      <alignment horizontal="left" vertical="top"/>
    </xf>
    <xf numFmtId="0" fontId="4" fillId="5" borderId="0" applyNumberFormat="0" applyBorder="0" applyAlignment="0" applyProtection="0"/>
    <xf numFmtId="165" fontId="4" fillId="0" borderId="0" applyFont="0" applyFill="0" applyBorder="0" applyAlignment="0">
      <alignment horizontal="left" vertical="center" wrapText="1"/>
    </xf>
    <xf numFmtId="0" fontId="4" fillId="3" borderId="0" applyNumberFormat="0" applyFill="0" applyBorder="0" applyAlignment="0" applyProtection="0">
      <alignment horizontal="left" vertical="center"/>
    </xf>
    <xf numFmtId="0" fontId="4" fillId="0" borderId="0" applyNumberFormat="0" applyFill="0" applyBorder="0" applyAlignment="0" applyProtection="0">
      <alignment vertical="center" wrapText="1"/>
    </xf>
    <xf numFmtId="0" fontId="8" fillId="6" borderId="0" applyNumberFormat="0" applyFill="0" applyBorder="0" applyAlignment="0">
      <alignment horizontal="left" vertical="center"/>
    </xf>
  </cellStyleXfs>
  <cellXfs count="13">
    <xf numFmtId="0" fontId="0" fillId="0" borderId="0" xfId="0">
      <alignment horizontal="left" vertical="center" wrapText="1"/>
    </xf>
    <xf numFmtId="0" fontId="2" fillId="2" borderId="0" xfId="1">
      <alignment vertical="center" wrapText="1"/>
    </xf>
    <xf numFmtId="0" fontId="3" fillId="0" borderId="0" xfId="0" applyFont="1" applyAlignment="1">
      <alignment vertical="center"/>
    </xf>
    <xf numFmtId="0" fontId="1" fillId="2" borderId="0" xfId="8">
      <alignment vertical="center"/>
    </xf>
    <xf numFmtId="0" fontId="5" fillId="0" borderId="1" xfId="2"/>
    <xf numFmtId="0" fontId="6" fillId="0" borderId="0" xfId="5" applyFill="1"/>
    <xf numFmtId="8" fontId="7" fillId="0" borderId="0" xfId="9" applyFill="1">
      <alignment horizontal="left" vertical="top"/>
    </xf>
    <xf numFmtId="164" fontId="0" fillId="0" borderId="0" xfId="0" applyNumberFormat="1" applyAlignment="1">
      <alignment horizontal="right" vertical="center"/>
    </xf>
    <xf numFmtId="164" fontId="4" fillId="0" borderId="0" xfId="6" applyFill="1" applyBorder="1">
      <alignment horizontal="right" vertical="center"/>
    </xf>
    <xf numFmtId="166" fontId="10" fillId="0" borderId="0" xfId="14" applyNumberFormat="1" applyFont="1" applyFill="1" applyAlignment="1">
      <alignment horizontal="left" vertical="center" wrapText="1"/>
    </xf>
    <xf numFmtId="0" fontId="5" fillId="0" borderId="1" xfId="2" applyFill="1"/>
    <xf numFmtId="164" fontId="4" fillId="0" borderId="0" xfId="6" applyFill="1" applyBorder="1" applyAlignment="1">
      <alignment horizontal="center" vertical="center"/>
      <extLst>
        <ext xmlns:xfpb="http://schemas.microsoft.com/office/spreadsheetml/2022/featurepropertybag" uri="{C7286773-470A-42A8-94C5-96B5CB345126}">
          <xfpb:xfComplement i="0"/>
        </ext>
      </extLst>
    </xf>
    <xf numFmtId="0" fontId="11" fillId="0" borderId="0" xfId="0" applyFont="1">
      <alignment horizontal="left" vertical="center" wrapText="1"/>
    </xf>
  </cellXfs>
  <cellStyles count="15">
    <cellStyle name="20% - Accent1" xfId="10" builtinId="30" customBuiltin="1"/>
    <cellStyle name="Currency" xfId="6" builtinId="4" customBuiltin="1"/>
    <cellStyle name="Currency [0]" xfId="7" builtinId="7" customBuiltin="1"/>
    <cellStyle name="Followed Hyperlink" xfId="13" builtinId="9" customBuiltin="1"/>
    <cellStyle name="Heading 1" xfId="1" builtinId="16" customBuiltin="1"/>
    <cellStyle name="Heading 2" xfId="2" builtinId="17" customBuiltin="1"/>
    <cellStyle name="Heading 3" xfId="4" builtinId="18" customBuiltin="1"/>
    <cellStyle name="Heading 4" xfId="5" builtinId="19" customBuiltin="1"/>
    <cellStyle name="Hyperlink" xfId="12" builtinId="8" customBuiltin="1"/>
    <cellStyle name="Input" xfId="3" builtinId="20" customBuiltin="1"/>
    <cellStyle name="Navigation link" xfId="14" xr:uid="{00000000-0005-0000-0000-00000B000000}"/>
    <cellStyle name="Normal" xfId="0" builtinId="0" customBuiltin="1"/>
    <cellStyle name="Phone" xfId="11" xr:uid="{00000000-0005-0000-0000-00000D000000}"/>
    <cellStyle name="Title" xfId="8" builtinId="15" customBuiltin="1"/>
    <cellStyle name="Total" xfId="9" builtinId="25" customBuiltin="1"/>
  </cellStyles>
  <dxfs count="10">
    <dxf>
      <numFmt numFmtId="164" formatCode="&quot;$&quot;#,##0.00"/>
      <alignment horizontal="right" vertical="center" textRotation="0" wrapText="0" indent="0" justifyLastLine="0" shrinkToFit="0" readingOrder="0"/>
    </dxf>
    <dxf>
      <font>
        <b/>
        <i val="0"/>
        <strike val="0"/>
        <condense val="0"/>
        <extend val="0"/>
        <outline val="0"/>
        <shadow val="0"/>
        <u val="none"/>
        <vertAlign val="baseline"/>
        <sz val="12"/>
        <color theme="4" tint="-0.499984740745262"/>
        <name val="Times New Roman"/>
        <family val="1"/>
        <scheme val="minor"/>
      </font>
    </dxf>
    <dxf>
      <alignment horizontal="center" vertical="center" textRotation="0" wrapText="0" indent="0" justifyLastLine="0" shrinkToFit="0" readingOrder="0"/>
    </dxf>
    <dxf>
      <font>
        <b val="0"/>
        <i val="0"/>
        <sz val="12"/>
        <color theme="5" tint="-0.24994659260841701"/>
        <name val="Arial Black"/>
        <scheme val="major"/>
      </font>
      <border diagonalUp="0" diagonalDown="0">
        <left/>
        <right/>
        <top/>
        <bottom style="medium">
          <color theme="4"/>
        </bottom>
        <vertical/>
        <horizontal/>
      </border>
    </dxf>
    <dxf>
      <font>
        <b val="0"/>
        <i val="0"/>
        <sz val="11"/>
        <color theme="0"/>
        <name val="Times New Roman"/>
        <scheme val="minor"/>
      </font>
      <border diagonalUp="0" diagonalDown="0">
        <left/>
        <right/>
        <top/>
        <bottom/>
        <vertical/>
        <horizontal/>
      </border>
    </dxf>
    <dxf>
      <font>
        <color theme="4" tint="-0.499984740745262"/>
      </font>
      <border diagonalUp="0" diagonalDown="0">
        <left/>
        <right/>
        <top style="thin">
          <color theme="4"/>
        </top>
        <bottom style="thin">
          <color theme="4"/>
        </bottom>
        <vertical/>
        <horizontal style="thin">
          <color theme="4"/>
        </horizontal>
      </border>
    </dxf>
    <dxf>
      <font>
        <b val="0"/>
        <i val="0"/>
        <color theme="4"/>
      </font>
      <border diagonalUp="0" diagonalDown="0">
        <left/>
        <right/>
        <top style="thin">
          <color theme="4"/>
        </top>
        <bottom style="thin">
          <color theme="4"/>
        </bottom>
        <vertical/>
        <horizontal style="thin">
          <color theme="4"/>
        </horizontal>
      </border>
    </dxf>
    <dxf>
      <font>
        <color theme="4" tint="-0.499984740745262"/>
      </font>
      <border diagonalUp="0" diagonalDown="0">
        <left/>
        <right/>
        <top style="thin">
          <color theme="4"/>
        </top>
        <bottom style="thin">
          <color theme="4"/>
        </bottom>
        <vertical/>
        <horizontal style="thin">
          <color theme="4"/>
        </horizontal>
      </border>
    </dxf>
    <dxf>
      <font>
        <b val="0"/>
        <i val="0"/>
        <color theme="5" tint="-0.24994659260841701"/>
      </font>
      <border diagonalUp="0" diagonalDown="0">
        <left/>
        <right/>
        <top/>
        <bottom style="medium">
          <color theme="4"/>
        </bottom>
        <vertical/>
        <horizontal/>
      </border>
    </dxf>
    <dxf>
      <font>
        <b val="0"/>
        <i val="0"/>
        <color theme="4"/>
      </font>
      <fill>
        <patternFill patternType="none">
          <bgColor auto="1"/>
        </patternFill>
      </fill>
      <border diagonalUp="0" diagonalDown="0">
        <left/>
        <right/>
        <top style="thick">
          <color theme="4"/>
        </top>
        <bottom style="thin">
          <color theme="4"/>
        </bottom>
        <vertical/>
        <horizontal style="thin">
          <color theme="4"/>
        </horizontal>
      </border>
    </dxf>
  </dxfs>
  <tableStyles count="2" defaultTableStyle="Home construction budget" defaultPivotStyle="PivotStyleLight16">
    <tableStyle name="Home construction budget" pivot="0" count="5" xr9:uid="{00000000-0011-0000-FFFF-FFFF00000000}">
      <tableStyleElement type="wholeTable" dxfId="9"/>
      <tableStyleElement type="headerRow" dxfId="8"/>
      <tableStyleElement type="totalRow" dxfId="7"/>
      <tableStyleElement type="firstColumn" dxfId="6"/>
      <tableStyleElement type="lastColumn" dxfId="5"/>
    </tableStyle>
    <tableStyle name="Home construction budget Slicer" pivot="0" table="0" count="10" xr9:uid="{00000000-0011-0000-FFFF-FFFF01000000}">
      <tableStyleElement type="wholeTable" dxfId="4"/>
      <tableStyleElement type="headerRow" dxfId="3"/>
    </tableStyle>
  </tableStyles>
  <extLst>
    <ext xmlns:x14="http://schemas.microsoft.com/office/spreadsheetml/2009/9/main" uri="{46F421CA-312F-682f-3DD2-61675219B42D}">
      <x14:dxfs count="8">
        <dxf>
          <font>
            <b/>
            <i val="0"/>
            <sz val="11"/>
            <color theme="0"/>
            <name val="Times New Roman"/>
            <scheme val="minor"/>
          </font>
          <fill>
            <patternFill>
              <bgColor theme="5" tint="-0.24994659260841701"/>
            </patternFill>
          </fill>
          <border diagonalUp="0" diagonalDown="0">
            <left style="thin">
              <color theme="5" tint="-0.24994659260841701"/>
            </left>
            <right style="thin">
              <color theme="5" tint="-0.24994659260841701"/>
            </right>
            <top style="thin">
              <color theme="5" tint="-0.24994659260841701"/>
            </top>
            <bottom style="thin">
              <color theme="5" tint="-0.24994659260841701"/>
            </bottom>
            <vertical/>
            <horizontal/>
          </border>
        </dxf>
        <dxf>
          <font>
            <b val="0"/>
            <i val="0"/>
            <sz val="11"/>
            <color theme="5" tint="-0.24994659260841701"/>
            <name val="Times New Roman"/>
            <scheme val="minor"/>
          </font>
          <fill>
            <patternFill>
              <bgColor theme="5" tint="0.79998168889431442"/>
            </patternFill>
          </fill>
          <border>
            <left style="thin">
              <color theme="5" tint="0.79998168889431442"/>
            </left>
            <right style="thin">
              <color theme="5" tint="0.79998168889431442"/>
            </right>
            <top style="thin">
              <color theme="5" tint="0.79998168889431442"/>
            </top>
            <bottom style="thin">
              <color theme="5" tint="0.79998168889431442"/>
            </bottom>
          </border>
        </dxf>
        <dxf>
          <font>
            <b/>
            <i val="0"/>
            <sz val="11"/>
            <color theme="0"/>
            <name val="Times New Roman"/>
            <scheme val="minor"/>
          </font>
          <fill>
            <patternFill>
              <bgColor theme="5" tint="-0.24994659260841701"/>
            </patternFill>
          </fill>
          <border>
            <left style="thin">
              <color theme="5" tint="-0.24994659260841701"/>
            </left>
            <right style="thin">
              <color theme="5" tint="-0.24994659260841701"/>
            </right>
            <top style="thin">
              <color theme="5" tint="-0.24994659260841701"/>
            </top>
            <bottom style="thin">
              <color theme="5" tint="-0.24994659260841701"/>
            </bottom>
          </border>
        </dxf>
        <dxf>
          <font>
            <b/>
            <i val="0"/>
            <sz val="11"/>
            <color theme="5" tint="-0.24994659260841701"/>
            <name val="Times New Roman"/>
            <scheme val="minor"/>
          </font>
          <fill>
            <patternFill patternType="none">
              <bgColor auto="1"/>
            </patternFill>
          </fill>
          <border>
            <left style="thin">
              <color theme="5" tint="-0.24994659260841701"/>
            </left>
            <right style="thin">
              <color theme="5" tint="-0.24994659260841701"/>
            </right>
            <top style="thin">
              <color theme="5" tint="-0.24994659260841701"/>
            </top>
            <bottom style="thin">
              <color theme="5" tint="-0.24994659260841701"/>
            </bottom>
          </border>
        </dxf>
        <dxf>
          <font>
            <b/>
            <i val="0"/>
            <sz val="11"/>
            <color theme="5" tint="-0.24994659260841701"/>
            <name val="Times New Roman"/>
            <scheme val="minor"/>
          </font>
          <fill>
            <patternFill>
              <fgColor theme="5" tint="0.79998168889431442"/>
              <bgColor theme="5" tint="-0.24994659260841701"/>
            </patternFill>
          </fill>
          <border>
            <left style="thin">
              <color theme="5" tint="-0.24994659260841701"/>
            </left>
            <right style="thin">
              <color theme="5" tint="-0.24994659260841701"/>
            </right>
            <top style="thin">
              <color theme="5" tint="-0.24994659260841701"/>
            </top>
            <bottom style="thin">
              <color theme="5" tint="-0.24994659260841701"/>
            </bottom>
            <vertical/>
            <horizontal/>
          </border>
        </dxf>
        <dxf>
          <font>
            <b val="0"/>
            <i val="0"/>
            <sz val="11"/>
            <color theme="0"/>
            <name val="Times New Roman"/>
            <scheme val="minor"/>
          </font>
          <fill>
            <patternFill>
              <bgColor theme="5" tint="-0.24994659260841701"/>
            </patternFill>
          </fill>
          <border>
            <left style="thin">
              <color theme="5" tint="-0.24994659260841701"/>
            </left>
            <right style="thin">
              <color theme="5" tint="-0.24994659260841701"/>
            </right>
            <top style="thin">
              <color theme="5" tint="-0.24994659260841701"/>
            </top>
            <bottom style="thin">
              <color theme="5" tint="-0.24994659260841701"/>
            </bottom>
            <vertical/>
            <horizontal/>
          </border>
        </dxf>
        <dxf>
          <font>
            <b val="0"/>
            <i val="0"/>
            <sz val="11"/>
            <color theme="5" tint="-0.24994659260841701"/>
            <name val="Times New Roman"/>
            <scheme val="minor"/>
          </font>
          <fill>
            <patternFill patternType="solid">
              <fgColor rgb="FFDFDFDF"/>
              <bgColor theme="5" tint="0.79998168889431442"/>
            </patternFill>
          </fill>
          <border>
            <left style="thin">
              <color theme="5" tint="0.79998168889431442"/>
            </left>
            <right style="thin">
              <color theme="5" tint="0.79998168889431442"/>
            </right>
            <top style="thin">
              <color theme="5" tint="0.79998168889431442"/>
            </top>
            <bottom style="thin">
              <color theme="5" tint="0.79998168889431442"/>
            </bottom>
            <vertical/>
            <horizontal/>
          </border>
        </dxf>
        <dxf>
          <font>
            <b val="0"/>
            <i val="0"/>
            <sz val="11"/>
            <color theme="5" tint="-0.24994659260841701"/>
            <name val="Times New Roman"/>
            <scheme val="minor"/>
          </font>
          <fill>
            <patternFill patternType="none">
              <fgColor indexed="64"/>
              <bgColor auto="1"/>
            </patternFill>
          </fill>
          <border>
            <left style="thin">
              <color theme="5" tint="-0.24994659260841701"/>
            </left>
            <right style="thin">
              <color theme="5" tint="-0.24994659260841701"/>
            </right>
            <top style="thin">
              <color theme="5" tint="-0.24994659260841701"/>
            </top>
            <bottom style="thin">
              <color theme="5" tint="-0.24994659260841701"/>
            </bottom>
            <vertical/>
            <horizontal/>
          </border>
        </dxf>
      </x14:dxfs>
    </ext>
    <ext xmlns:x14="http://schemas.microsoft.com/office/spreadsheetml/2009/9/main" uri="{EB79DEF2-80B8-43e5-95BD-54CBDDF9020C}">
      <x14:slicerStyles defaultSlicerStyle="Home construction budget Slicer">
        <x14:slicerStyle name="Home construction budge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BUDGET SUMMARY'!A1"/></Relationships>
</file>

<file path=xl/drawings/drawing1.xml><?xml version="1.0" encoding="utf-8"?>
<xdr:wsDr xmlns:xdr="http://schemas.openxmlformats.org/drawingml/2006/spreadsheetDrawing" xmlns:a="http://schemas.openxmlformats.org/drawingml/2006/main">
  <xdr:twoCellAnchor editAs="oneCell">
    <xdr:from>
      <xdr:col>4</xdr:col>
      <xdr:colOff>48417</xdr:colOff>
      <xdr:row>0</xdr:row>
      <xdr:rowOff>85724</xdr:rowOff>
    </xdr:from>
    <xdr:to>
      <xdr:col>4</xdr:col>
      <xdr:colOff>1688282</xdr:colOff>
      <xdr:row>0</xdr:row>
      <xdr:rowOff>380999</xdr:rowOff>
    </xdr:to>
    <xdr:sp macro="" textlink="">
      <xdr:nvSpPr>
        <xdr:cNvPr id="2" name="Round Same Side Corner Rectangle 1" descr="Select to navigate to Budget Summary worksheet">
          <a:hlinkClick xmlns:r="http://schemas.openxmlformats.org/officeDocument/2006/relationships" r:id="rId1" tooltip="Select to navigate to Budget Summary worksheet"/>
          <a:extLst>
            <a:ext uri="{FF2B5EF4-FFF2-40B4-BE49-F238E27FC236}">
              <a16:creationId xmlns:a16="http://schemas.microsoft.com/office/drawing/2014/main" id="{00000000-0008-0000-0100-000002000000}"/>
            </a:ext>
          </a:extLst>
        </xdr:cNvPr>
        <xdr:cNvSpPr/>
      </xdr:nvSpPr>
      <xdr:spPr>
        <a:xfrm>
          <a:off x="7249317" y="85724"/>
          <a:ext cx="1638299" cy="295275"/>
        </a:xfrm>
        <a:prstGeom prst="round2SameRect">
          <a:avLst/>
        </a:prstGeom>
        <a:solidFill>
          <a:schemeClr val="accent1"/>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spc="50" baseline="0">
              <a:solidFill>
                <a:schemeClr val="bg2"/>
              </a:solidFill>
              <a:latin typeface="+mj-lt"/>
            </a:rPr>
            <a:t>BUDGET SUMMARY</a:t>
          </a:r>
        </a:p>
      </xdr:txBody>
    </xdr:sp>
    <xdr:clientData fPrintsWithSheet="0"/>
  </xdr:twoCellAnchor>
  <xdr:twoCellAnchor editAs="oneCell">
    <xdr:from>
      <xdr:col>6</xdr:col>
      <xdr:colOff>247650</xdr:colOff>
      <xdr:row>4</xdr:row>
      <xdr:rowOff>228600</xdr:rowOff>
    </xdr:from>
    <xdr:to>
      <xdr:col>8</xdr:col>
      <xdr:colOff>302514</xdr:colOff>
      <xdr:row>8</xdr:row>
      <xdr:rowOff>280394</xdr:rowOff>
    </xdr:to>
    <mc:AlternateContent xmlns:mc="http://schemas.openxmlformats.org/markup-compatibility/2006">
      <mc:Choice xmlns:sle15="http://schemas.microsoft.com/office/drawing/2012/slicer" Requires="sle15">
        <xdr:graphicFrame macro="">
          <xdr:nvGraphicFramePr>
            <xdr:cNvPr id="3" name="Category" descr="Select an item in the slicer to filter the list">
              <a:extLst>
                <a:ext uri="{FF2B5EF4-FFF2-40B4-BE49-F238E27FC236}">
                  <a16:creationId xmlns:a16="http://schemas.microsoft.com/office/drawing/2014/main" id="{7F5073C0-CFA3-4565-9E00-188F8C6A97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25050" y="2451100"/>
              <a:ext cx="1426464" cy="172660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oneCell">
    <xdr:from>
      <xdr:col>3</xdr:col>
      <xdr:colOff>990600</xdr:colOff>
      <xdr:row>1</xdr:row>
      <xdr:rowOff>190500</xdr:rowOff>
    </xdr:from>
    <xdr:to>
      <xdr:col>4</xdr:col>
      <xdr:colOff>1714351</xdr:colOff>
      <xdr:row>1</xdr:row>
      <xdr:rowOff>698078</xdr:rowOff>
    </xdr:to>
    <xdr:pic>
      <xdr:nvPicPr>
        <xdr:cNvPr id="39" name="Picture 38" descr="Graphic Design of Common Hand Tools">
          <a:extLst>
            <a:ext uri="{FF2B5EF4-FFF2-40B4-BE49-F238E27FC236}">
              <a16:creationId xmlns:a16="http://schemas.microsoft.com/office/drawing/2014/main" id="{88894EF1-20CB-430E-9E13-B2A8112DB490}"/>
            </a:ext>
          </a:extLst>
        </xdr:cNvPr>
        <xdr:cNvPicPr>
          <a:picLocks noChangeAspect="1"/>
        </xdr:cNvPicPr>
      </xdr:nvPicPr>
      <xdr:blipFill>
        <a:blip xmlns:r="http://schemas.openxmlformats.org/officeDocument/2006/relationships" r:embed="rId2"/>
        <a:stretch>
          <a:fillRect/>
        </a:stretch>
      </xdr:blipFill>
      <xdr:spPr>
        <a:xfrm>
          <a:off x="6238875" y="571500"/>
          <a:ext cx="2676376" cy="50601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ata" displayName="Data" ref="B5:F15" totalsRowCount="1" headerRowCellStyle="Heading 2">
  <autoFilter ref="B5:F14" xr:uid="{00000000-0009-0000-0100-000001000000}">
    <filterColumn colId="0" hiddenButton="1"/>
    <filterColumn colId="1" hiddenButton="1"/>
    <filterColumn colId="2" hiddenButton="1"/>
    <filterColumn colId="3" hiddenButton="1"/>
    <filterColumn colId="4" hiddenButton="1"/>
  </autoFilter>
  <sortState xmlns:xlrd2="http://schemas.microsoft.com/office/spreadsheetml/2017/richdata2" ref="B6:E14">
    <sortCondition descending="1" ref="D5:D14"/>
  </sortState>
  <tableColumns count="5">
    <tableColumn id="1" xr3:uid="{00000000-0010-0000-0100-000001000000}" name="Item" totalsRowLabel="Total" totalsRowDxfId="1"/>
    <tableColumn id="4" xr3:uid="{BA693C19-1F30-4ECF-A3E3-F3EF7CA6D8C4}" name="Link to Product"/>
    <tableColumn id="2" xr3:uid="{00000000-0010-0000-0100-000002000000}" name="Category"/>
    <tableColumn id="3" xr3:uid="{00000000-0010-0000-0100-000003000000}" name="Amount" totalsRowFunction="sum" totalsRowDxfId="0" dataCellStyle="Currency"/>
    <tableColumn id="5" xr3:uid="{4A81CF85-AF02-43E8-AA53-66A837AB6BDD}" name="Order Placed:" dataDxfId="2" dataCellStyle="Currency"/>
  </tableColumns>
  <tableStyleInfo name="Home construction budget" showFirstColumn="1" showLastColumn="1" showRowStripes="0" showColumnStripes="0"/>
  <extLst>
    <ext xmlns:x14="http://schemas.microsoft.com/office/spreadsheetml/2009/9/main" uri="{504A1905-F514-4f6f-8877-14C23A59335A}">
      <x14:table altTextSummary="Enter Expense Item, Category, and Amount in this table"/>
    </ext>
  </extLst>
</table>
</file>

<file path=xl/theme/theme1.xml><?xml version="1.0" encoding="utf-8"?>
<a:theme xmlns:a="http://schemas.openxmlformats.org/drawingml/2006/main" name="Office Theme">
  <a:themeElements>
    <a:clrScheme name="Home construction budget">
      <a:dk1>
        <a:srgbClr val="000000"/>
      </a:dk1>
      <a:lt1>
        <a:srgbClr val="FFFFFF"/>
      </a:lt1>
      <a:dk2>
        <a:srgbClr val="3B1D0C"/>
      </a:dk2>
      <a:lt2>
        <a:srgbClr val="E9ECEC"/>
      </a:lt2>
      <a:accent1>
        <a:srgbClr val="586572"/>
      </a:accent1>
      <a:accent2>
        <a:srgbClr val="ED7430"/>
      </a:accent2>
      <a:accent3>
        <a:srgbClr val="F9AC1E"/>
      </a:accent3>
      <a:accent4>
        <a:srgbClr val="62A985"/>
      </a:accent4>
      <a:accent5>
        <a:srgbClr val="D9593C"/>
      </a:accent5>
      <a:accent6>
        <a:srgbClr val="8D6B88"/>
      </a:accent6>
      <a:hlink>
        <a:srgbClr val="62A985"/>
      </a:hlink>
      <a:folHlink>
        <a:srgbClr val="8D6B88"/>
      </a:folHlink>
    </a:clrScheme>
    <a:fontScheme name="Home construction budget">
      <a:majorFont>
        <a:latin typeface="Arial Black"/>
        <a:ea typeface=""/>
        <a:cs typeface=""/>
      </a:majorFont>
      <a:minorFont>
        <a:latin typeface="Times New Roma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autoPageBreaks="0" fitToPage="1"/>
  </sheetPr>
  <dimension ref="B1:F15"/>
  <sheetViews>
    <sheetView showGridLines="0" tabSelected="1" workbookViewId="0">
      <selection activeCell="C18" sqref="C18"/>
    </sheetView>
  </sheetViews>
  <sheetFormatPr defaultRowHeight="30" customHeight="1" x14ac:dyDescent="0.45"/>
  <cols>
    <col min="1" max="1" width="2.625" customWidth="1"/>
    <col min="2" max="2" width="30.375" customWidth="1"/>
    <col min="3" max="3" width="30.625" customWidth="1"/>
    <col min="4" max="4" width="25.625" customWidth="1"/>
    <col min="5" max="5" width="23.8125" customWidth="1"/>
    <col min="6" max="6" width="13.75" customWidth="1"/>
  </cols>
  <sheetData>
    <row r="1" spans="2:6" ht="30" customHeight="1" x14ac:dyDescent="0.45">
      <c r="B1" t="s">
        <v>27</v>
      </c>
      <c r="E1" s="9" t="s">
        <v>9</v>
      </c>
    </row>
    <row r="2" spans="2:6" ht="73.150000000000006" x14ac:dyDescent="0.45">
      <c r="B2" s="3" t="s">
        <v>25</v>
      </c>
      <c r="C2" s="1" t="s">
        <v>26</v>
      </c>
      <c r="D2" s="1"/>
      <c r="E2" s="1"/>
    </row>
    <row r="3" spans="2:6" ht="42" customHeight="1" x14ac:dyDescent="0.65">
      <c r="B3" s="5" t="s">
        <v>4</v>
      </c>
      <c r="C3" s="5" t="s">
        <v>5</v>
      </c>
      <c r="D3" s="5" t="s">
        <v>6</v>
      </c>
    </row>
    <row r="4" spans="2:6" ht="30" customHeight="1" x14ac:dyDescent="0.45">
      <c r="B4" s="6">
        <f>150</f>
        <v>150</v>
      </c>
      <c r="C4" s="6">
        <f>SUM(Data[Amount])</f>
        <v>38.81</v>
      </c>
      <c r="D4" s="6">
        <f>B4-C4</f>
        <v>111.19</v>
      </c>
    </row>
    <row r="5" spans="2:6" ht="42" customHeight="1" thickBot="1" x14ac:dyDescent="0.75">
      <c r="B5" s="4" t="s">
        <v>0</v>
      </c>
      <c r="C5" s="4" t="s">
        <v>11</v>
      </c>
      <c r="D5" s="4" t="s">
        <v>1</v>
      </c>
      <c r="E5" s="4" t="s">
        <v>2</v>
      </c>
      <c r="F5" s="10" t="s">
        <v>28</v>
      </c>
    </row>
    <row r="6" spans="2:6" ht="30" customHeight="1" thickTop="1" x14ac:dyDescent="0.45">
      <c r="B6" t="s">
        <v>12</v>
      </c>
      <c r="C6" t="s">
        <v>13</v>
      </c>
      <c r="D6" t="s">
        <v>10</v>
      </c>
      <c r="E6" s="8">
        <v>0</v>
      </c>
      <c r="F6" s="11" t="b">
        <v>1</v>
      </c>
    </row>
    <row r="7" spans="2:6" ht="30" customHeight="1" x14ac:dyDescent="0.45">
      <c r="B7" t="s">
        <v>14</v>
      </c>
      <c r="C7" t="s">
        <v>13</v>
      </c>
      <c r="D7" t="s">
        <v>10</v>
      </c>
      <c r="E7" s="8">
        <v>0</v>
      </c>
      <c r="F7" s="11" t="b">
        <v>1</v>
      </c>
    </row>
    <row r="8" spans="2:6" ht="30" customHeight="1" x14ac:dyDescent="0.45">
      <c r="B8" t="s">
        <v>15</v>
      </c>
      <c r="C8" t="s">
        <v>13</v>
      </c>
      <c r="D8" t="s">
        <v>10</v>
      </c>
      <c r="E8" s="8">
        <v>0</v>
      </c>
      <c r="F8" s="11" t="b">
        <v>1</v>
      </c>
    </row>
    <row r="9" spans="2:6" ht="30" customHeight="1" x14ac:dyDescent="0.45">
      <c r="B9" t="s">
        <v>16</v>
      </c>
      <c r="C9" t="s">
        <v>13</v>
      </c>
      <c r="D9" t="s">
        <v>10</v>
      </c>
      <c r="E9" s="8">
        <v>0</v>
      </c>
      <c r="F9" s="11" t="b">
        <v>1</v>
      </c>
    </row>
    <row r="10" spans="2:6" ht="30" customHeight="1" x14ac:dyDescent="0.45">
      <c r="B10" t="s">
        <v>18</v>
      </c>
      <c r="C10" t="s">
        <v>19</v>
      </c>
      <c r="D10" t="s">
        <v>10</v>
      </c>
      <c r="E10" s="8">
        <v>12.86</v>
      </c>
      <c r="F10" s="11" t="b">
        <v>0</v>
      </c>
    </row>
    <row r="11" spans="2:6" ht="30" customHeight="1" x14ac:dyDescent="0.45">
      <c r="B11" t="s">
        <v>22</v>
      </c>
      <c r="C11" t="s">
        <v>23</v>
      </c>
      <c r="D11" t="s">
        <v>10</v>
      </c>
      <c r="E11" s="8">
        <v>5.97</v>
      </c>
      <c r="F11" s="11" t="b">
        <v>0</v>
      </c>
    </row>
    <row r="12" spans="2:6" ht="30" customHeight="1" x14ac:dyDescent="0.45">
      <c r="B12" t="s">
        <v>21</v>
      </c>
      <c r="C12" t="s">
        <v>20</v>
      </c>
      <c r="D12" t="s">
        <v>10</v>
      </c>
      <c r="E12" s="8">
        <v>14.99</v>
      </c>
      <c r="F12" s="11" t="b">
        <v>0</v>
      </c>
    </row>
    <row r="13" spans="2:6" ht="30" customHeight="1" x14ac:dyDescent="0.45">
      <c r="B13" t="s">
        <v>29</v>
      </c>
      <c r="C13" t="s">
        <v>30</v>
      </c>
      <c r="D13" t="s">
        <v>24</v>
      </c>
      <c r="E13" s="8">
        <v>4.99</v>
      </c>
      <c r="F13" s="11" t="b">
        <v>0</v>
      </c>
    </row>
    <row r="14" spans="2:6" ht="30" customHeight="1" x14ac:dyDescent="0.45">
      <c r="B14" t="s">
        <v>17</v>
      </c>
      <c r="D14" t="s">
        <v>24</v>
      </c>
      <c r="E14" s="8">
        <v>0</v>
      </c>
      <c r="F14" s="11" t="b">
        <v>0</v>
      </c>
    </row>
    <row r="15" spans="2:6" ht="30" customHeight="1" x14ac:dyDescent="0.45">
      <c r="B15" s="12" t="s">
        <v>3</v>
      </c>
      <c r="E15" s="7">
        <f>SUBTOTAL(109,Data[Amount])</f>
        <v>38.81</v>
      </c>
    </row>
  </sheetData>
  <conditionalFormatting sqref="E6:F14">
    <cfRule type="dataBar" priority="7">
      <dataBar>
        <cfvo type="min"/>
        <cfvo type="max"/>
        <color theme="4" tint="0.79998168889431442"/>
      </dataBar>
      <extLst>
        <ext xmlns:x14="http://schemas.microsoft.com/office/spreadsheetml/2009/9/main" uri="{B025F937-C7B1-47D3-B67F-A62EFF666E3E}">
          <x14:id>{D0653EAD-1C34-4507-B887-EDBC9D8455FE}</x14:id>
        </ext>
      </extLst>
    </cfRule>
  </conditionalFormatting>
  <dataValidations count="15">
    <dataValidation allowBlank="1" showInputMessage="1" showErrorMessage="1" prompt="Title of this worksheet is in cells B2 and C2" sqref="B2" xr:uid="{00000000-0002-0000-0100-000000000000}"/>
    <dataValidation allowBlank="1" showInputMessage="1" showErrorMessage="1" prompt="Select cell E1 to navigate to Budget Summary worksheet. Enter Expenses in Data table below. A summary of allotted, used and remaining funds is in row 4" sqref="B1" xr:uid="{00000000-0002-0000-0100-000001000000}"/>
    <dataValidation allowBlank="1" showInputMessage="1" showErrorMessage="1" prompt="Create an Itemized Expense list in this worksheet. Use slicer in cell E5 to filter expenses by category" sqref="A1" xr:uid="{00000000-0002-0000-0100-000002000000}"/>
    <dataValidation allowBlank="1" showInputMessage="1" showErrorMessage="1" prompt="Navigation link to Budget Summary worksheet" sqref="E1" xr:uid="{00000000-0002-0000-0100-000003000000}"/>
    <dataValidation allowBlank="1" showInputMessage="1" showErrorMessage="1" prompt="Project Funds Allotted are automatically updated in cell below based on value entered in Budget Summary Worksheet" sqref="B3" xr:uid="{00000000-0002-0000-0100-000004000000}"/>
    <dataValidation allowBlank="1" showInputMessage="1" showErrorMessage="1" prompt="Project Funds Allotted are automatically updated in this cell" sqref="B4" xr:uid="{00000000-0002-0000-0100-000005000000}"/>
    <dataValidation allowBlank="1" showInputMessage="1" showErrorMessage="1" prompt="Funds Used To Date are automatically updated in cell below based on the total amount of expenses" sqref="C3" xr:uid="{00000000-0002-0000-0100-000006000000}"/>
    <dataValidation allowBlank="1" showInputMessage="1" showErrorMessage="1" prompt="Funds Used To Date are automatically updated in this cell" sqref="C4" xr:uid="{00000000-0002-0000-0100-000007000000}"/>
    <dataValidation allowBlank="1" showInputMessage="1" showErrorMessage="1" prompt="Funds Remaining are automatically updated in cell below by subtracting Project Allotted Funds from Used Funds To Date" sqref="D3" xr:uid="{00000000-0002-0000-0100-000008000000}"/>
    <dataValidation allowBlank="1" showInputMessage="1" showErrorMessage="1" prompt="Funds Remaining are automatically updated in this cell" sqref="D4" xr:uid="{00000000-0002-0000-0100-000009000000}"/>
    <dataValidation allowBlank="1" showInputMessage="1" showErrorMessage="1" prompt="Enter expense Items in this column under this heading" sqref="B5:C5" xr:uid="{00000000-0002-0000-0100-00000A000000}"/>
    <dataValidation allowBlank="1" showInputMessage="1" showErrorMessage="1" prompt="Enter Category in this column under this heading" sqref="D5" xr:uid="{00000000-0002-0000-0100-00000B000000}"/>
    <dataValidation allowBlank="1" showInputMessage="1" showErrorMessage="1" prompt="Enter expense Amount in this column under this heading. A data bar shows the proportion of each expense compared to all expenses. Small data bar means comparatively small expense" sqref="E5:F5" xr:uid="{00000000-0002-0000-0100-00000C000000}"/>
    <dataValidation allowBlank="1" showInputMessage="1" showErrorMessage="1" prompt="Image is in this cell" sqref="D2:E2" xr:uid="{00000000-0002-0000-0100-00000D000000}"/>
    <dataValidation allowBlank="1" showInputMessage="1" showErrorMessage="1" prompt="Category slicer to filter expense items by category is in this cell" sqref="G5" xr:uid="{00000000-0002-0000-0100-00000E000000}"/>
  </dataValidations>
  <hyperlinks>
    <hyperlink ref="E1" location="'BUDGET SUMMARY'!A1" tooltip="Select to navigate to Budget Summary worksheet" display="Budget Summary" xr:uid="{00000000-0004-0000-0100-000000000000}"/>
  </hyperlinks>
  <printOptions horizontalCentered="1"/>
  <pageMargins left="0.4" right="0.4" top="0.4" bottom="0.4" header="0.3" footer="0.3"/>
  <pageSetup scale="77" fitToHeight="0" orientation="portrait"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D0653EAD-1C34-4507-B887-EDBC9D8455FE}">
            <x14:dataBar minLength="0" maxLength="100" gradient="0">
              <x14:cfvo type="autoMin"/>
              <x14:cfvo type="autoMax"/>
              <x14:negativeFillColor rgb="FFFF0000"/>
              <x14:axisColor rgb="FF000000"/>
            </x14:dataBar>
          </x14:cfRule>
          <xm:sqref>E6:F14</xm:sqref>
        </x14:conditionalFormatting>
      </x14:conditionalFormattings>
    </ex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showGridLines="0" workbookViewId="0"/>
  </sheetViews>
  <sheetFormatPr defaultRowHeight="15.4" x14ac:dyDescent="0.45"/>
  <cols>
    <col min="1" max="1" width="8" customWidth="1"/>
  </cols>
  <sheetData>
    <row r="1" spans="1:1" ht="78.75" customHeight="1" thickBot="1" x14ac:dyDescent="0.75">
      <c r="A1" s="4" t="s">
        <v>7</v>
      </c>
    </row>
    <row r="2" spans="1:1" ht="17.25" thickTop="1" x14ac:dyDescent="0.65">
      <c r="A2" s="5" t="s">
        <v>8</v>
      </c>
    </row>
    <row r="3" spans="1:1" x14ac:dyDescent="0.45">
      <c r="A3" s="2" t="e">
        <f>FundsUsedLabel&amp;": "&amp;TEXT(FundsUsed,"$#,##0.00")&amp;" ("&amp;TEXT(FundsUsed/SUM(FundsUsed:FundsRemaining),"0%")&amp;")"</f>
        <v>#REF!</v>
      </c>
    </row>
    <row r="4" spans="1:1" x14ac:dyDescent="0.45">
      <c r="A4" s="2" t="e">
        <f>FundsRemainingLabel&amp;": "&amp;TEXT(FundsRemaining,"$#,##0.00")&amp;" ("&amp;TEXT(FundsRemaining/SUM(FundsUsed:FundsRemaining),"0%")&amp;")"</f>
        <v>#REF!</v>
      </c>
    </row>
  </sheetData>
  <pageMargins left="0.7" right="0.7" top="0.75" bottom="0.75" header="0.3" footer="0.3"/>
  <pageSetup orientation="portrait" horizontalDpi="4294967294"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8B20188-3F1D-48BB-98B3-500715844889}">
  <ds:schemaRefs>
    <ds:schemaRef ds:uri="http://schemas.microsoft.com/sharepoint/v3/contenttype/forms"/>
  </ds:schemaRefs>
</ds:datastoreItem>
</file>

<file path=customXml/itemProps2.xml><?xml version="1.0" encoding="utf-8"?>
<ds:datastoreItem xmlns:ds="http://schemas.openxmlformats.org/officeDocument/2006/customXml" ds:itemID="{E0143895-1E8A-4A1D-B4DB-EE7E0F4270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B4BF5E-B69C-4F09-8DD4-7CE1F2025B9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TM04014205</Template>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Itemized expenses</vt:lpstr>
      <vt:lpstr>ChartData</vt:lpstr>
      <vt:lpstr>ColumnTitle2</vt:lpstr>
      <vt:lpstr>ColumnTitleRegion1..D4.2</vt:lpstr>
      <vt:lpstr>'Itemized expenses'!Print_Titles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2022-11-10T06:07:21Z</dcterms:created>
  <dcterms:modified xsi:type="dcterms:W3CDTF">2025-11-03T23:25:13Z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